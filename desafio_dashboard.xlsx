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nagata.sensei\Dio - IA\Claude - Excel\desafio2\"/>
    </mc:Choice>
  </mc:AlternateContent>
  <xr:revisionPtr revIDLastSave="0" documentId="13_ncr:1_{97659514-DEC2-436D-A8D3-0948080BECC5}" xr6:coauthVersionLast="47" xr6:coauthVersionMax="47" xr10:uidLastSave="{00000000-0000-0000-0000-000000000000}"/>
  <bookViews>
    <workbookView showSheetTabs="0" xWindow="-12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externalReferences>
    <externalReference r:id="rId5"/>
  </externalReferences>
  <definedNames>
    <definedName name="_xlcn.WorksheetConnection_desafio_dashboard.xlsxTabela11" hidden="1">Tabela1[]</definedName>
    <definedName name="SegmentaçãodeDados_Subscription_Type">#N/A</definedName>
  </definedNames>
  <calcPr calcId="191029"/>
  <pivotCaches>
    <pivotCache cacheId="398" r:id="rId6"/>
    <pivotCache cacheId="401" r:id="rId7"/>
    <pivotCache cacheId="404" r:id="rId8"/>
  </pivotCaches>
  <extLst>
    <ext xmlns:x14="http://schemas.microsoft.com/office/spreadsheetml/2009/9/main" uri="{876F7934-8845-4945-9796-88D515C7AA90}">
      <x14:pivotCaches>
        <pivotCache cacheId="221" r:id="rId9"/>
      </x14:pivotCaches>
    </ex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" name="Tabela1" connection="WorksheetConnection_desafio_dashboard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E2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5561E1-4C90-4B67-BE67-495B2F91877D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36258F4-4AFB-4F17-ACBC-4A8D19B735A4}" name="WorksheetConnection_desafio_dashboard.xlsx!Tabela1" type="102" refreshedVersion="8" minRefreshableVersion="5" saveData="1">
    <extLst>
      <ext xmlns:x15="http://schemas.microsoft.com/office/spreadsheetml/2010/11/main" uri="{DE250136-89BD-433C-8126-D09CA5730AF9}">
        <x15:connection id="Tabela1">
          <x15:rangePr sourceName="_xlcn.WorksheetConnection_desafio_dashboard.xlsxTabela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ela1].[Subscription Type].&amp;[Monthly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<sst xmlns="http://schemas.openxmlformats.org/spreadsheetml/2006/main" count="1822" uniqueCount="322">
  <si>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</si>
  <si>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</si>
  <si>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</si>
  <si>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</si>
  <si>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</si>
  <si>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</si>
  <si>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</si>
  <si>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</si>
  <si>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</si>
  <si>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</si>
  <si>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</si>
  <si>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</si>
  <si>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</si>
  <si>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</si>
  <si>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</si>
  <si>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</si>
  <si>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</si>
  <si>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</si>
  <si>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</si>
  <si>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</si>
  <si>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</si>
  <si>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</si>
  <si>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</si>
  <si>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</si>
  <si>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</si>
  <si>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</si>
  <si>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</si>
  <si>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</si>
  <si>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</si>
  <si>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</si>
  <si>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</si>
  <si>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</si>
  <si>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</si>
  <si>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</si>
  <si>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</si>
  <si>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</si>
  <si>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</si>
  <si>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</si>
  <si>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</si>
  <si>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</si>
  <si>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</si>
  <si>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</si>
  <si>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</si>
  <si>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</si>
  <si>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</si>
  <si>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</si>
  <si>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</si>
  <si>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</si>
  <si>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</si>
  <si>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</si>
  <si>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</si>
  <si>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</si>
  <si>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</si>
  <si>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</si>
  <si>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</si>
  <si>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</si>
  <si>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</si>
  <si>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</si>
  <si>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</si>
  <si>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</si>
  <si>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</si>
  <si>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</si>
  <si>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</si>
  <si>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</si>
  <si>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</si>
  <si>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</si>
  <si>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</si>
  <si>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</si>
  <si>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</si>
  <si>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</si>
  <si>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</si>
  <si>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</si>
  <si>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</si>
  <si>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</si>
  <si>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</si>
  <si>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</si>
  <si>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</si>
  <si>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</si>
  <si>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</si>
  <si>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</si>
  <si>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</si>
  <si>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</si>
  <si>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</si>
  <si>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</si>
  <si>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</si>
  <si>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</si>
  <si>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</si>
  <si>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</si>
  <si>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</si>
  <si>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</si>
  <si>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</si>
  <si>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</si>
  <si>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</si>
  <si>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</si>
  <si>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</si>
  <si>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</si>
  <si>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</si>
  <si>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</si>
  <si>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</si>
  <si>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</si>
  <si>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</si>
  <si>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</si>
  <si>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</si>
  <si>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</si>
  <si>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</si>
  <si>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</si>
  <si>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</si>
  <si>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</si>
  <si>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</si>
  <si>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</si>
  <si>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</si>
  <si>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</si>
  <si>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</si>
  <si>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</si>
  <si>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</si>
  <si>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</si>
  <si>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</si>
  <si>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</si>
  <si>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</si>
  <si>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</si>
  <si>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</si>
  <si>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</si>
  <si>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</si>
  <si>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</si>
  <si>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</si>
  <si>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</si>
  <si>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</si>
  <si>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</si>
  <si>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</si>
  <si>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</si>
  <si>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</si>
  <si>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</si>
  <si>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</si>
  <si>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</si>
  <si>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</si>
  <si>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</si>
  <si>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</si>
  <si>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</si>
  <si>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</si>
  <si>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</si>
  <si>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</si>
  <si>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</si>
  <si>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</si>
  <si>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</si>
  <si>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</si>
  <si>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</si>
  <si>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</si>
  <si>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</si>
  <si>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</si>
  <si>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</si>
  <si>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</si>
  <si>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</si>
  <si>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</si>
  <si>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</si>
  <si>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</si>
  <si>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</si>
  <si>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</si>
  <si>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</si>
  <si>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</si>
  <si>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</si>
  <si>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</si>
  <si>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</si>
  <si>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</si>
  <si>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</si>
  <si>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</si>
  <si>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</si>
  <si>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</si>
  <si>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</si>
  <si>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</si>
  <si>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</si>
  <si>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</si>
  <si>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</si>
  <si>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</si>
  <si>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</si>
  <si>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</si>
  <si>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</si>
  <si>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</si>
  <si>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</si>
  <si>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</si>
  <si>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</si>
  <si>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</si>
  <si>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</si>
  <si>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</si>
  <si>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</si>
  <si>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</si>
  <si>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</si>
  <si>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</si>
  <si>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</si>
  <si>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</si>
  <si>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</si>
  <si>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</si>
  <si>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</si>
  <si>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</si>
  <si>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</si>
  <si>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</si>
  <si>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</si>
  <si>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</si>
  <si>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</si>
  <si>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</si>
  <si>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</si>
  <si>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</si>
  <si>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</si>
  <si>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</si>
  <si>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</si>
  <si>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</si>
  <si>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</si>
  <si>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</si>
  <si>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</si>
  <si>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</si>
  <si>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</si>
  <si>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</si>
  <si>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</si>
  <si>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</si>
  <si>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</si>
  <si>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</si>
  <si>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</si>
  <si>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</si>
  <si>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</si>
  <si>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</si>
  <si>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</si>
  <si>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</si>
  <si>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</si>
  <si>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</si>
  <si>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</si>
  <si>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</si>
  <si>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</si>
  <si>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</si>
  <si>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</si>
  <si>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</si>
  <si>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</si>
  <si>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</si>
  <si>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</si>
  <si>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</si>
  <si>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</si>
  <si>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</si>
  <si>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</si>
  <si>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</si>
  <si>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</si>
  <si>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</si>
  <si>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</si>
  <si>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</si>
  <si>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</si>
  <si>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</si>
  <si>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</si>
  <si>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</si>
  <si>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</si>
  <si>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</si>
  <si>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</si>
  <si>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</si>
  <si>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</si>
  <si>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</si>
  <si>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</si>
  <si>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</si>
  <si>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</si>
  <si>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</si>
  <si>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</si>
  <si>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</si>
  <si>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</si>
  <si>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</si>
  <si>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</si>
  <si>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</si>
  <si>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</si>
  <si>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</si>
  <si>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</si>
  <si>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</si>
  <si>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</si>
  <si>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</si>
  <si>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</si>
  <si>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</si>
  <si>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</si>
  <si>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</si>
  <si>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</si>
  <si>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</si>
  <si>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</si>
  <si>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</si>
  <si>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</si>
  <si>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</si>
  <si>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</si>
  <si>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</si>
  <si>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</si>
  <si>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</si>
  <si>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</si>
  <si>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</si>
  <si>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</si>
  <si>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</si>
  <si>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</si>
  <si>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</si>
  <si>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</si>
  <si>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</si>
  <si>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</si>
  <si>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</si>
  <si>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</si>
  <si>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</si>
  <si>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</si>
  <si>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</si>
  <si>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</si>
  <si>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</si>
  <si>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</si>
  <si>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</si>
  <si>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</si>
  <si>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</si>
  <si>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</si>
  <si>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</si>
  <si>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</si>
  <si>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</si>
  <si>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</si>
  <si>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</si>
  <si>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</si>
  <si>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</si>
  <si>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</si>
  <si>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Subscription Price</t>
  </si>
  <si>
    <t>Rótulos de Linha</t>
  </si>
  <si>
    <t>Total Geral</t>
  </si>
  <si>
    <t>Soma de Total Value</t>
  </si>
  <si>
    <t>Pergunta de Negócio 1 - Qual faturamento Total de vendas de planos anuais (contendo todas as assinaturas agregadas)</t>
  </si>
  <si>
    <t>Pergunta de Negócio 2 - Qual Faturamento Total de vendas de planos anuais , separado por auto renovação não é por auto renovação</t>
  </si>
  <si>
    <t>Perguntas de negócio (E o negócio Frota?)</t>
  </si>
  <si>
    <t>Pergunta Negócio 3 - Qual o total de vendas de subs do EA Play?</t>
  </si>
  <si>
    <t>Pergunta Negócio 4 - Qual o total de vendas de subs do Minecraft Season Pass?</t>
  </si>
  <si>
    <t>Soma de Minecraft Season Pass Price</t>
  </si>
  <si>
    <t>EA Play Season Pass Price</t>
  </si>
  <si>
    <t>Soma de EA Play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</si>
</sst>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2" applyFont="1"/>
    <xf numFmtId="0" fontId="3" fillId="0" borderId="0" xfId="0" applyFont="1" applyAlignment="1">
      <alignment horizontal="left"/>
    </xf>
    <xf numFmtId="0" fontId="3" fillId="0" borderId="0" xfId="0" applyFont="1"/>
    <xf numFmtId="44" fontId="0" fillId="0" borderId="0" xfId="2" applyNumberFormat="1" applyFont="1" applyAlignment="1">
      <alignment horizontal="center" vertical="center" wrapText="1"/>
    </xf>
    <xf numFmtId="0" fontId="0" fillId="8" borderId="0" xfId="0" applyFill="1"/>
    <xf numFmtId="0" fontId="0" fillId="9" borderId="0" xfId="0" applyFill="1"/>
  </cellXfs>
  <cellStyles count="3">
    <cellStyle name="Moeda" xfId="2" builtinId="4"/>
    <cellStyle name="Normal" xfId="0" builtinId="0"/>
    <cellStyle name="Título 1" xfId="1" builtinId="16"/>
  </cellStyles>
  <dxfs count="14"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sheetMetadata" Target="metadata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[desafio_dashboard.xlsx]C̳álculos!tbl_annual_TOTA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ln>
                  <a:noFill/>
                </a:ln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ln>
                  <a:noFill/>
                </a:ln>
                <a:solidFill>
                  <a:srgbClr val="00B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XBOX GAME PASS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ln>
                  <a:noFill/>
                </a:ln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kern="1200">
                <a:ln>
                  <a:noFill/>
                </a:ln>
                <a:solidFill>
                  <a:srgbClr val="00B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OF</a:t>
            </a:r>
            <a:r>
              <a:rPr lang="pt-BR" sz="1400" b="0" kern="1200" baseline="0">
                <a:ln>
                  <a:noFill/>
                </a:ln>
                <a:solidFill>
                  <a:srgbClr val="00B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400" b="0" kern="1200">
                <a:ln>
                  <a:noFill/>
                </a:ln>
                <a:solidFill>
                  <a:srgbClr val="00B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SUBSCRIPTIONS</a:t>
            </a:r>
          </a:p>
        </c:rich>
      </c:tx>
      <c:layout>
        <c:manualLayout>
          <c:xMode val="edge"/>
          <c:yMode val="edge"/>
          <c:x val="4.055972082323029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ln>
                <a:noFill/>
              </a:ln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solidFill>
              <a:schemeClr val="accent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solidFill>
              <a:schemeClr val="accent6"/>
            </a:solidFill>
          </a:ln>
          <a:effectLst/>
        </c:spPr>
      </c:pivotFmt>
      <c:pivotFmt>
        <c:idx val="4"/>
        <c:spPr>
          <a:solidFill>
            <a:srgbClr val="FF0000"/>
          </a:solidFill>
          <a:ln>
            <a:solidFill>
              <a:schemeClr val="accent6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E85-4287-9675-0F362E25A3A3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85-4287-9675-0F362E25A3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C̳álculos!$C$6:$C$8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5-4287-9675-0F362E25A3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58158271"/>
        <c:axId val="1069488623"/>
      </c:barChart>
      <c:catAx>
        <c:axId val="1758158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9488623"/>
        <c:crosses val="autoZero"/>
        <c:auto val="1"/>
        <c:lblAlgn val="ctr"/>
        <c:lblOffset val="100"/>
        <c:noMultiLvlLbl val="0"/>
      </c:catAx>
      <c:valAx>
        <c:axId val="106948862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5815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openxmlformats.org/officeDocument/2006/relationships/image" Target="../media/image6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578827</xdr:colOff>
      <xdr:row>1</xdr:row>
      <xdr:rowOff>14653</xdr:rowOff>
    </xdr:from>
    <xdr:to>
      <xdr:col>0</xdr:col>
      <xdr:colOff>1274152</xdr:colOff>
      <xdr:row>4</xdr:row>
      <xdr:rowOff>13920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2DE3130E-3F9E-4120-B547-5616BDEA3701}"/>
            </a:ext>
          </a:extLst>
        </xdr:cNvPr>
        <xdr:cNvSpPr/>
      </xdr:nvSpPr>
      <xdr:spPr>
        <a:xfrm>
          <a:off x="578827" y="205153"/>
          <a:ext cx="695325" cy="695325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234461</xdr:colOff>
      <xdr:row>4</xdr:row>
      <xdr:rowOff>80595</xdr:rowOff>
    </xdr:from>
    <xdr:to>
      <xdr:col>0</xdr:col>
      <xdr:colOff>1812890</xdr:colOff>
      <xdr:row>6</xdr:row>
      <xdr:rowOff>53553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362B864-2696-4854-A4FE-AA45F1343512}"/>
            </a:ext>
          </a:extLst>
        </xdr:cNvPr>
        <xdr:cNvSpPr/>
      </xdr:nvSpPr>
      <xdr:spPr>
        <a:xfrm>
          <a:off x="234461" y="967153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Juca</a:t>
          </a:r>
        </a:p>
      </xdr:txBody>
    </xdr:sp>
    <xdr:clientData/>
  </xdr:twoCellAnchor>
  <xdr:twoCellAnchor>
    <xdr:from>
      <xdr:col>2</xdr:col>
      <xdr:colOff>140805</xdr:colOff>
      <xdr:row>16</xdr:row>
      <xdr:rowOff>29307</xdr:rowOff>
    </xdr:from>
    <xdr:to>
      <xdr:col>18</xdr:col>
      <xdr:colOff>74543</xdr:colOff>
      <xdr:row>30</xdr:row>
      <xdr:rowOff>105507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EB115FF-C8F2-48BF-9102-F203B9F8F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29308</xdr:colOff>
      <xdr:row>6</xdr:row>
      <xdr:rowOff>234462</xdr:rowOff>
    </xdr:from>
    <xdr:to>
      <xdr:col>0</xdr:col>
      <xdr:colOff>1858108</xdr:colOff>
      <xdr:row>20</xdr:row>
      <xdr:rowOff>7327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260B7930-B7FD-4442-AEDA-33CC689BB4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308" y="1385745"/>
              <a:ext cx="1828800" cy="26717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139210</xdr:colOff>
      <xdr:row>6</xdr:row>
      <xdr:rowOff>227135</xdr:rowOff>
    </xdr:from>
    <xdr:to>
      <xdr:col>9</xdr:col>
      <xdr:colOff>554281</xdr:colOff>
      <xdr:row>14</xdr:row>
      <xdr:rowOff>130969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1F15E633-BAB3-4A98-BB1F-7752CF1A5B4A}"/>
            </a:ext>
          </a:extLst>
        </xdr:cNvPr>
        <xdr:cNvGrpSpPr/>
      </xdr:nvGrpSpPr>
      <xdr:grpSpPr>
        <a:xfrm>
          <a:off x="2367232" y="1378418"/>
          <a:ext cx="4705462" cy="1659747"/>
          <a:chOff x="2095500" y="1143000"/>
          <a:chExt cx="4655344" cy="164782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395B8589-5F68-0440-6C67-A817F69E4574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16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9A5BA58A-E825-F45A-0520-0C7BCA3175EA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5DD55A6-2646-4D8B-8C9A-8CED7989C1F4}" type="TxLink">
              <a:rPr lang="en-US" sz="3600" b="0" i="0" u="none" strike="noStrike" kern="1200">
                <a:solidFill>
                  <a:srgbClr val="FF0000"/>
                </a:solidFill>
                <a:latin typeface="Aptos Narrow"/>
              </a:rPr>
              <a:t> R$ 1.350,00 </a:t>
            </a:fld>
            <a:endParaRPr lang="pt-BR" sz="8800" kern="1200">
              <a:solidFill>
                <a:srgbClr val="FF0000"/>
              </a:solidFill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16C754B5-BE1E-2707-BB05-7C20677325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ED6DA80B-4EBA-778B-11F1-C2EEE6D7ECA6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212298</xdr:colOff>
      <xdr:row>6</xdr:row>
      <xdr:rowOff>249115</xdr:rowOff>
    </xdr:from>
    <xdr:to>
      <xdr:col>18</xdr:col>
      <xdr:colOff>185371</xdr:colOff>
      <xdr:row>14</xdr:row>
      <xdr:rowOff>76749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5725167A-885C-4051-8FFF-27AE8278C07D}"/>
            </a:ext>
          </a:extLst>
        </xdr:cNvPr>
        <xdr:cNvGrpSpPr/>
      </xdr:nvGrpSpPr>
      <xdr:grpSpPr>
        <a:xfrm>
          <a:off x="7343624" y="1400398"/>
          <a:ext cx="4702443" cy="1583547"/>
          <a:chOff x="7534275" y="1247775"/>
          <a:chExt cx="4655344" cy="1571625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E84E148D-455E-A40B-D289-697B8AD7D4DA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72638E7D-91F7-BB5B-93A2-C0D64B486FA6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28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496CF901-D648-21B3-8194-7FC146C46E29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06AAD5F-214B-4348-8C2F-2392068AF0EB}" type="TxLink">
                <a:rPr lang="en-US" sz="3600" b="0" i="0" u="none" strike="noStrike" kern="1200">
                  <a:solidFill>
                    <a:srgbClr val="00B050"/>
                  </a:solidFill>
                  <a:latin typeface="Aptos Narrow"/>
                </a:rPr>
                <a:t> R$ 1.800,00 </a:t>
              </a:fld>
              <a:endParaRPr lang="pt-BR" sz="8800" kern="1200">
                <a:solidFill>
                  <a:srgbClr val="00B050"/>
                </a:solidFill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BC30F3CC-E792-9EF0-B5FE-06866F8ADDA4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86E5667F-0E7E-EA36-7CD2-DD7EF7D6D0E3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4DEC78D1-9D36-4CC8-FDFC-0967E43ECC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8" name="Gráfico 17">
              <a:extLst>
                <a:ext uri="{FF2B5EF4-FFF2-40B4-BE49-F238E27FC236}">
                  <a16:creationId xmlns:a16="http://schemas.microsoft.com/office/drawing/2014/main" id="{C937B496-44E1-6830-6D9D-9D2BBFEC43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1592</xdr:colOff>
      <xdr:row>5</xdr:row>
      <xdr:rowOff>29307</xdr:rowOff>
    </xdr:from>
    <xdr:to>
      <xdr:col>9</xdr:col>
      <xdr:colOff>338751</xdr:colOff>
      <xdr:row>6</xdr:row>
      <xdr:rowOff>134149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5277CCE3-0D0C-4F8E-907D-911C9EF4A294}"/>
            </a:ext>
          </a:extLst>
        </xdr:cNvPr>
        <xdr:cNvSpPr/>
      </xdr:nvSpPr>
      <xdr:spPr>
        <a:xfrm>
          <a:off x="2234711" y="1047749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800" b="0" i="1" kern="1200">
              <a:solidFill>
                <a:schemeClr val="tx1"/>
              </a:solidFill>
            </a:rPr>
            <a:t>Calculation period: 01/01/2024 - 31/12/2024 | Updated in: 25/12/2024 09:00:00</a:t>
          </a:r>
        </a:p>
      </xdr:txBody>
    </xdr:sp>
    <xdr:clientData/>
  </xdr:twoCellAnchor>
  <xdr:twoCellAnchor editAs="oneCell">
    <xdr:from>
      <xdr:col>1</xdr:col>
      <xdr:colOff>107675</xdr:colOff>
      <xdr:row>0</xdr:row>
      <xdr:rowOff>140805</xdr:rowOff>
    </xdr:from>
    <xdr:to>
      <xdr:col>4</xdr:col>
      <xdr:colOff>142250</xdr:colOff>
      <xdr:row>1</xdr:row>
      <xdr:rowOff>412078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6E4C8123-6B27-487C-BC76-FBC39DB68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1" y="140805"/>
          <a:ext cx="1500597" cy="461773"/>
        </a:xfrm>
        <a:prstGeom prst="rect">
          <a:avLst/>
        </a:prstGeom>
      </xdr:spPr>
    </xdr:pic>
    <xdr:clientData/>
  </xdr:twoCellAnchor>
  <xdr:twoCellAnchor>
    <xdr:from>
      <xdr:col>4</xdr:col>
      <xdr:colOff>99391</xdr:colOff>
      <xdr:row>0</xdr:row>
      <xdr:rowOff>107673</xdr:rowOff>
    </xdr:from>
    <xdr:to>
      <xdr:col>14</xdr:col>
      <xdr:colOff>314740</xdr:colOff>
      <xdr:row>1</xdr:row>
      <xdr:rowOff>422412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D5CBE898-9CC4-2993-5AC5-91300C338E77}"/>
            </a:ext>
          </a:extLst>
        </xdr:cNvPr>
        <xdr:cNvSpPr txBox="1"/>
      </xdr:nvSpPr>
      <xdr:spPr>
        <a:xfrm>
          <a:off x="3553239" y="107673"/>
          <a:ext cx="6170544" cy="505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pt-BR" sz="1400" i="1" u="sng">
              <a:solidFill>
                <a:schemeClr val="accent6">
                  <a:lumMod val="75000"/>
                </a:schemeClr>
              </a:solidFill>
            </a:rPr>
            <a:t>GAME</a:t>
          </a:r>
          <a:r>
            <a:rPr lang="pt-BR" sz="1400" i="1" u="sng" baseline="0">
              <a:solidFill>
                <a:schemeClr val="accent6">
                  <a:lumMod val="75000"/>
                </a:schemeClr>
              </a:solidFill>
            </a:rPr>
            <a:t> PASS SUBSCRIPTION SALES</a:t>
          </a:r>
          <a:endParaRPr lang="pt-BR" sz="1400" i="1" u="sng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pilot%20-%20dashboard/dashboard_xbox_finalizado.xlsx" TargetMode="External"/><Relationship Id="rId2" Type="http://schemas.openxmlformats.org/officeDocument/2006/relationships/externalLinkPath" Target="file:///D:\nagata.sensei\Dio%20-%20IA\Claude%20-%20Excel\copilot%20-%20dashboard\dashboard_xbox_finalizado.xlsx" TargetMode="External"/><Relationship Id="rId1" Type="http://schemas.openxmlformats.org/officeDocument/2006/relationships/externalLinkPath" Target="/nagata.sensei/Dio%20-%20IA/Claude%20-%20Excel/copilot%20-%20dashboard/dashboard_xbox_fin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̳ssets"/>
      <sheetName val="B̳ases"/>
      <sheetName val="C̳álculos"/>
      <sheetName val="Macro2"/>
      <sheetName val="Macro1"/>
      <sheetName val="D̳ashboar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andro Nagata" refreshedDate="46313.621007060188" backgroundQuery="1" createdVersion="8" refreshedVersion="8" minRefreshableVersion="3" recordCount="0" supportSubquery="1" supportAdvancedDrill="1" xr:uid="{4A6D3EC1-5D9C-49F4-8ADA-BB5E778546EC}">
  <cacheSource type="external" connectionId="1"/>
  <cacheFields count="3">
    <cacheField name="[Tabela1].[Plan].[Plan]" caption="Plan" numFmtId="0" hierarchy="2" level="1">
      <sharedItems count="3">
        <s v="Core"/>
        <s v="Standard"/>
        <s v="Ultimate"/>
      </sharedItems>
    </cacheField>
    <cacheField name="[Tabela1].[Subscription Type].[Subscription Type]" caption="Subscription Type" numFmtId="0" hierarchy="6" level="1">
      <sharedItems containsSemiMixedTypes="0" containsNonDate="0" containsString="0"/>
    </cacheField>
    <cacheField name="[Measures].[Soma de EA Play Season Pass Price]" caption="Soma de EA Play Season Pass Price" numFmtId="0" hierarchy="20" level="32767"/>
  </cacheFields>
  <cacheHierarchies count="21">
    <cacheHierarchy uniqueName="[Tabela1].[Subscriber ID]" caption="Subscriber ID" attribute="1" defaultMemberUniqueName="[Tabela1].[Subscriber ID].[All]" allUniqueName="[Tabela1].[Subscriber ID].[All]" dimensionUniqueName="[Tabela1]" displayFolder="" count="2" memberValueDatatype="20" unbalanced="0"/>
    <cacheHierarchy uniqueName="[Tabela1].[Name]" caption="Name" attribute="1" defaultMemberUniqueName="[Tabela1].[Name].[All]" allUniqueName="[Tabela1].[Name].[All]" dimensionUniqueName="[Tabela1]" displayFolder="" count="2" memberValueDatatype="130" unbalanced="0"/>
    <cacheHierarchy uniqueName="[Tabela1].[Plan]" caption="Plan" attribute="1" defaultMemberUniqueName="[Tabela1].[Plan].[All]" allUniqueName="[Tabela1].[Plan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Start Date]" caption="Start Date" attribute="1" time="1" defaultMemberUniqueName="[Tabela1].[Start Date].[All]" allUniqueName="[Tabela1].[Start Date].[All]" dimensionUniqueName="[Tabela1]" displayFolder="" count="2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2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2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2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2" memberValueDatatype="2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2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2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2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2" memberValueDatatype="2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Subscription Price]" caption="Soma de Subscription Price" measure="1" displayFolder="" measureGroup="Tabela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Total Value]" caption="Soma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Minecraft Season Pass Price]" caption="Soma de Minecraft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EA Play Season Pass Price]" caption="Contagem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Tabela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EA Play Season Pass Price]" caption="Soma de EA Play Season Pass Price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andro Nagata" refreshedDate="46313.62100752315" backgroundQuery="1" createdVersion="8" refreshedVersion="8" minRefreshableVersion="3" recordCount="0" supportSubquery="1" supportAdvancedDrill="1" xr:uid="{C514616D-466A-48B7-A4A8-6BE87A9FAD3F}">
  <cacheSource type="external" connectionId="1"/>
  <cacheFields count="3">
    <cacheField name="[Measures].[Soma de Total Value]" caption="Soma de Total Value" numFmtId="0" hierarchy="16" level="32767"/>
    <cacheField name="[Tabela1].[Auto Renewal].[Auto Renewal]" caption="Auto Renewal" numFmtId="0" hierarchy="4" level="1">
      <sharedItems count="2">
        <s v="No"/>
        <s v="Yes"/>
      </sharedItems>
    </cacheField>
    <cacheField name="[Tabela1].[Subscription Type].[Subscription Type]" caption="Subscription Type" numFmtId="0" hierarchy="6" level="1">
      <sharedItems containsSemiMixedTypes="0" containsNonDate="0" containsString="0"/>
    </cacheField>
  </cacheFields>
  <cacheHierarchies count="21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0" memberValueDatatype="130" unbalanced="0"/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2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Subscription Price]" caption="Soma de Subscription Price" measure="1" displayFolder="" measureGroup="Tabela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Total Value]" caption="Soma de Total Value" measure="1" displayFolder="" measureGroup="Tabe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Minecraft Season Pass Price]" caption="Soma de Minecraft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EA Play Season Pass Price]" caption="Contagem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Tabela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EA Play Season Pass Price]" caption="Soma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andro Nagata" refreshedDate="46313.621007870373" backgroundQuery="1" createdVersion="8" refreshedVersion="8" minRefreshableVersion="3" recordCount="0" supportSubquery="1" supportAdvancedDrill="1" xr:uid="{1FD97C1B-3BF2-44AE-A90D-A07A5AA23564}">
  <cacheSource type="external" connectionId="1"/>
  <cacheFields count="3">
    <cacheField name="[Tabela1].[Subscription Type].[Subscription Type]" caption="Subscription Type" numFmtId="0" hierarchy="6" level="1">
      <sharedItems containsSemiMixedTypes="0" containsNonDate="0" containsString="0"/>
    </cacheField>
    <cacheField name="[Measures].[Soma de Minecraft Season Pass Price]" caption="Soma de Minecraft Season Pass Price" numFmtId="0" hierarchy="17" level="32767"/>
    <cacheField name="[Tabela1].[Plan].[Plan]" caption="Plan" numFmtId="0" hierarchy="2" level="1">
      <sharedItems count="3">
        <s v="Core"/>
        <s v="Standard"/>
        <s v="Ultimate"/>
      </sharedItems>
    </cacheField>
  </cacheFields>
  <cacheHierarchies count="21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2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Subscription Price]" caption="Soma de Subscription Price" measure="1" displayFolder="" measureGroup="Tabela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Total Value]" caption="Soma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Minecraft Season Pass Price]" caption="Soma de Minecraft Season Pass Price" measure="1" displayFolder="" measureGroup="Tabe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EA Play Season Pass Price]" caption="Contagem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Tabela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EA Play Season Pass Price]" caption="Soma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andro Nagata" refreshedDate="46313.614092592594" backgroundQuery="1" createdVersion="3" refreshedVersion="8" minRefreshableVersion="3" recordCount="0" supportSubquery="1" supportAdvancedDrill="1" xr:uid="{F77B1425-91A2-4A55-97B3-87A2AE7C2E9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1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0" memberValueDatatype="130" unbalanced="0"/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/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2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Subscription Price]" caption="Soma de Subscription Price" measure="1" displayFolder="" measureGroup="Tabela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Total Value]" caption="Soma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Minecraft Season Pass Price]" caption="Soma de Minecraft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EA Play Season Pass Price]" caption="Contagem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Tabela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EA Play Season Pass Price]" caption="Soma de EA Play Season Pass Price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956093604" supportSubqueryNonVisual="1" supportSubqueryCalcMem="1" supportAddCalcMems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4FC30-143C-4F17-8478-33032B983259}" name="Tabela dinâmica7" cacheId="398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12:C16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6" name="[Tabela1].[Subscription Type].&amp;[Monthly]" cap="Monthly"/>
  </pageFields>
  <dataFields count="1">
    <dataField name="Soma de EA Play Season Pass Price" fld="2" baseField="0" baseItem="0" numFmtId="44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Subscription Type].&amp;[Monthl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CBCAE-5A80-4969-9866-849508C2D193}" name="tbl_minecraftseasonpass" cacheId="40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5:C29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6" name="[Tabela1].[Subscription Type].&amp;[Monthly]" cap="Monthly"/>
  </pageFields>
  <dataFields count="1">
    <dataField name="Soma de Minecraft Season Pass Price" fld="1" baseField="0" baseItem="0" numFmtId="44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Subscription Type].&amp;[Monthl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42A08-9BDF-428A-BBE1-CD557045018A}" name="tbl_annual_TOTA" cacheId="40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8">
  <location ref="B5:C8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Total Value" fld="0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ela1].[Subscription Type].&amp;[Monthl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safio_dashboard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4B8568C-EB8E-4B7A-AE9C-6EB069960B68}" sourceName="[Tabela1].[Subscription Type]">
  <pivotTables>
    <pivotTable tabId="3" name="Tabela dinâmica7"/>
    <pivotTable tabId="3" name="tbl_annual_TOTA"/>
    <pivotTable tabId="3" name="tbl_minecraftseasonpass"/>
  </pivotTables>
  <data>
    <olap pivotCacheId="1956093604">
      <levels count="2">
        <level uniqueName="[Tabela1].[Subscription Type].[(All)]" sourceCaption="(All)" count="0"/>
        <level uniqueName="[Tabela1].[Subscription Type].[Subscription Type]" sourceCaption="Subscription Type" count="3">
          <ranges>
            <range startItem="0">
              <i n="[Tabela1].[Subscription Type].&amp;[Annual]" c="Annual"/>
              <i n="[Tabela1].[Subscription Type].&amp;[Monthly]" c="Monthly"/>
              <i n="[Tabela1].[Subscription Type].&amp;[Quarterly]" c="Quarterly"/>
            </range>
          </ranges>
        </level>
      </levels>
      <selections count="1">
        <selection n="[Tabela1].[Subscription Type].&amp;[Monthly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BDF5E42-9280-4B10-BFD3-44569430DE22}" cache="SegmentaçãodeDados_Subscription_Type" caption="Subscription Type" level="1" style="SlicerStyleLight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2"/>
    <tableColumn id="13" xr3:uid="{978DD0D2-834E-4CE4-A39B-30976086932F}" name="EA Play Season Pass Price" dataDxfId="0" dataCellStyle="Moeda"/>
    <tableColumn id="9" xr3:uid="{6E29F111-C395-4580-9DAD-3407D9E8B1A4}" name="Minecraft Season Pass" dataDxfId="1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12" sqref="B1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1" sqref="I1:I104857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310</v>
      </c>
      <c r="G1" s="9" t="s">
        <v>16</v>
      </c>
      <c r="H1" s="9" t="s">
        <v>309</v>
      </c>
      <c r="I1" s="9" t="s">
        <v>320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8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8">
        <v>0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8">
        <v>0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8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8">
        <v>0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8">
        <v>0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8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8">
        <v>0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8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8">
        <v>0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8">
        <v>0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8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8">
        <v>0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8">
        <v>0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8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8">
        <v>0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8">
        <v>0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8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8">
        <v>0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8">
        <v>0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8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8">
        <v>0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8">
        <v>0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8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8">
        <v>0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8">
        <v>0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8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8">
        <v>0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8">
        <v>0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8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8">
        <v>0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8">
        <v>0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8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8">
        <v>0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8">
        <v>0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8">
        <v>0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8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8">
        <v>0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8">
        <v>0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8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8">
        <v>0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8">
        <v>0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8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8">
        <v>0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8">
        <v>0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8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8">
        <v>0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8">
        <v>0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8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8">
        <v>0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8">
        <v>0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8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8">
        <v>0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8">
        <v>0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8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8">
        <v>0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8">
        <v>0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8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8">
        <v>0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8">
        <v>0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8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8">
        <v>0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8">
        <v>0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8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8">
        <v>0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8">
        <v>0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8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8">
        <v>0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8">
        <v>0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8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8">
        <v>0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8">
        <v>0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8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8">
        <v>0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8">
        <v>0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8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8">
        <v>0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8">
        <v>0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8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8">
        <v>0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8">
        <v>0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8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8">
        <v>0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8">
        <v>0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8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8">
        <v>0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8">
        <v>0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8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8">
        <v>0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8">
        <v>0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8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8">
        <v>0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8">
        <v>0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8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8">
        <v>0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8">
        <v>0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8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8">
        <v>0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8">
        <v>0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8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8">
        <v>0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8">
        <v>0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8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8">
        <v>0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8">
        <v>0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8">
        <v>0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8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8">
        <v>0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8">
        <v>0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8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8">
        <v>0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8">
        <v>0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8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8">
        <v>0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8">
        <v>0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8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8">
        <v>0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8">
        <v>0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8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8">
        <v>0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8">
        <v>0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8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8">
        <v>0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8">
        <v>0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8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8">
        <v>0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8">
        <v>0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8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8">
        <v>0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8">
        <v>0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8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8">
        <v>0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8">
        <v>0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8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8">
        <v>0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8">
        <v>0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8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8">
        <v>0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8">
        <v>0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8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8">
        <v>0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8">
        <v>0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8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8">
        <v>0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8">
        <v>0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8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8">
        <v>0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8">
        <v>0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8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8">
        <v>0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8">
        <v>0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8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8">
        <v>0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8">
        <v>0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8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8">
        <v>0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8">
        <v>0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8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8">
        <v>0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8">
        <v>0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8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8">
        <v>0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8">
        <v>0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8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8">
        <v>0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8">
        <v>0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8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8">
        <v>0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8">
        <v>0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8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8">
        <v>0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8">
        <v>0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8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8">
        <v>0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8">
        <v>0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8">
        <v>0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8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8">
        <v>0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8">
        <v>0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8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8">
        <v>0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8">
        <v>0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8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8">
        <v>0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8">
        <v>0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8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8">
        <v>0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8">
        <v>0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8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8">
        <v>0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8">
        <v>0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8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8">
        <v>0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8">
        <v>0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8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8">
        <v>0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8">
        <v>0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8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8">
        <v>0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8">
        <v>0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8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8">
        <v>0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8">
        <v>0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8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8">
        <v>0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8">
        <v>0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8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8">
        <v>0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8">
        <v>0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8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8">
        <v>0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8">
        <v>0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8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8">
        <v>0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8">
        <v>0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8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8">
        <v>0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8">
        <v>0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8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8">
        <v>0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8">
        <v>0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8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8">
        <v>0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8">
        <v>0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8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8">
        <v>0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8">
        <v>0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8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8">
        <v>0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8">
        <v>0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8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8">
        <v>0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8">
        <v>0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8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8">
        <v>0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8">
        <v>0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8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8">
        <v>0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8">
        <v>0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8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8">
        <v>0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8">
        <v>0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8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8">
        <v>0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8">
        <v>0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8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8">
        <v>0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8">
        <v>0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8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8">
        <v>0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8">
        <v>0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8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8">
        <v>0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8">
        <v>0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8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8">
        <v>0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8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8">
        <v>0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8">
        <v>0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8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8">
        <v>0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8">
        <v>0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8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8">
        <v>0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8">
        <v>0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8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8">
        <v>0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8">
        <v>0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8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8">
        <v>0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8">
        <v>0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8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8">
        <v>0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8">
        <v>0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8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8">
        <v>0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8">
        <v>0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8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8">
        <v>0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8">
        <v>0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8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8">
        <v>0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8">
        <v>0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8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8">
        <v>0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8">
        <v>0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8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8">
        <v>0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8">
        <v>0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8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8">
        <v>0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8">
        <v>0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8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8">
        <v>0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8">
        <v>0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E29"/>
  <sheetViews>
    <sheetView showGridLines="0" workbookViewId="0">
      <selection activeCell="C6" sqref="C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8.42578125" bestFit="1" customWidth="1"/>
    <col min="5" max="5" width="30.5703125" bestFit="1" customWidth="1"/>
    <col min="6" max="6" width="6.28515625" customWidth="1"/>
    <col min="7" max="7" width="19.140625" bestFit="1" customWidth="1"/>
    <col min="8" max="8" width="27.7109375" bestFit="1" customWidth="1"/>
    <col min="9" max="9" width="5.42578125" customWidth="1"/>
    <col min="10" max="10" width="21.140625" bestFit="1" customWidth="1"/>
    <col min="11" max="12" width="35.140625" bestFit="1" customWidth="1"/>
    <col min="13" max="16" width="9.7109375" bestFit="1" customWidth="1"/>
    <col min="17" max="17" width="15.5703125" bestFit="1" customWidth="1"/>
    <col min="18" max="18" width="12.140625" bestFit="1" customWidth="1"/>
  </cols>
  <sheetData>
    <row r="1" spans="2:5" x14ac:dyDescent="0.25">
      <c r="E1" t="s">
        <v>316</v>
      </c>
    </row>
    <row r="2" spans="2:5" x14ac:dyDescent="0.25">
      <c r="E2" s="17" t="s">
        <v>314</v>
      </c>
    </row>
    <row r="3" spans="2:5" x14ac:dyDescent="0.25">
      <c r="E3" s="17" t="s">
        <v>315</v>
      </c>
    </row>
    <row r="5" spans="2:5" x14ac:dyDescent="0.25">
      <c r="B5" s="12" t="s">
        <v>311</v>
      </c>
      <c r="C5" t="s">
        <v>313</v>
      </c>
    </row>
    <row r="6" spans="2:5" x14ac:dyDescent="0.25">
      <c r="B6" s="13" t="s">
        <v>23</v>
      </c>
      <c r="C6" s="14">
        <v>2824</v>
      </c>
    </row>
    <row r="7" spans="2:5" x14ac:dyDescent="0.25">
      <c r="B7" s="13" t="s">
        <v>19</v>
      </c>
      <c r="C7" s="14">
        <v>747</v>
      </c>
    </row>
    <row r="8" spans="2:5" x14ac:dyDescent="0.25">
      <c r="B8" s="13" t="s">
        <v>312</v>
      </c>
      <c r="C8" s="14">
        <v>3571</v>
      </c>
    </row>
    <row r="9" spans="2:5" x14ac:dyDescent="0.25">
      <c r="B9" s="13"/>
      <c r="C9" s="14"/>
    </row>
    <row r="10" spans="2:5" x14ac:dyDescent="0.25">
      <c r="B10" s="12" t="s">
        <v>16</v>
      </c>
      <c r="C10" t="s" vm="1">
        <v>20</v>
      </c>
    </row>
    <row r="12" spans="2:5" x14ac:dyDescent="0.25">
      <c r="B12" s="12" t="s">
        <v>311</v>
      </c>
      <c r="C12" t="s">
        <v>321</v>
      </c>
      <c r="E12" s="16" t="s">
        <v>317</v>
      </c>
    </row>
    <row r="13" spans="2:5" x14ac:dyDescent="0.25">
      <c r="B13" s="13" t="s">
        <v>22</v>
      </c>
      <c r="C13" s="14">
        <v>0</v>
      </c>
    </row>
    <row r="14" spans="2:5" x14ac:dyDescent="0.25">
      <c r="B14" s="13" t="s">
        <v>26</v>
      </c>
      <c r="C14" s="14">
        <v>0</v>
      </c>
    </row>
    <row r="15" spans="2:5" x14ac:dyDescent="0.25">
      <c r="B15" s="13" t="s">
        <v>18</v>
      </c>
      <c r="C15" s="14">
        <v>1350</v>
      </c>
    </row>
    <row r="16" spans="2:5" x14ac:dyDescent="0.25">
      <c r="B16" s="13" t="s">
        <v>312</v>
      </c>
      <c r="C16" s="14">
        <v>1350</v>
      </c>
      <c r="E16" s="15">
        <f>GETPIVOTDATA("[Measures].[Soma de EA Play Season Pass Price]",$B$12)</f>
        <v>1350</v>
      </c>
    </row>
    <row r="23" spans="2:5" x14ac:dyDescent="0.25">
      <c r="B23" s="12" t="s">
        <v>16</v>
      </c>
      <c r="C23" t="s" vm="1">
        <v>20</v>
      </c>
      <c r="E23" s="16" t="s">
        <v>318</v>
      </c>
    </row>
    <row r="25" spans="2:5" x14ac:dyDescent="0.25">
      <c r="B25" s="12" t="s">
        <v>311</v>
      </c>
      <c r="C25" t="s">
        <v>319</v>
      </c>
    </row>
    <row r="26" spans="2:5" x14ac:dyDescent="0.25">
      <c r="B26" s="13" t="s">
        <v>22</v>
      </c>
      <c r="C26" s="14">
        <v>0</v>
      </c>
    </row>
    <row r="27" spans="2:5" x14ac:dyDescent="0.25">
      <c r="B27" s="13" t="s">
        <v>26</v>
      </c>
      <c r="C27" s="14">
        <v>900</v>
      </c>
    </row>
    <row r="28" spans="2:5" x14ac:dyDescent="0.25">
      <c r="B28" s="13" t="s">
        <v>18</v>
      </c>
      <c r="C28" s="14">
        <v>900</v>
      </c>
      <c r="E28" s="15">
        <f>GETPIVOTDATA("[Measures].[Soma de Minecraft Season Pass Price]",$B$25)</f>
        <v>1800</v>
      </c>
    </row>
    <row r="29" spans="2:5" x14ac:dyDescent="0.25">
      <c r="B29" s="13" t="s">
        <v>312</v>
      </c>
      <c r="C29" s="14"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7"/>
  <sheetViews>
    <sheetView showGridLines="0" showRowColHeaders="0" tabSelected="1" zoomScale="115" zoomScaleNormal="115" workbookViewId="0">
      <selection activeCell="R6" sqref="R6"/>
    </sheetView>
  </sheetViews>
  <sheetFormatPr defaultRowHeight="15" x14ac:dyDescent="0.25"/>
  <cols>
    <col min="1" max="1" width="29.85546875" style="4" customWidth="1"/>
    <col min="2" max="2" width="3.5703125" style="19" customWidth="1"/>
    <col min="3" max="11" width="9.140625" style="19"/>
    <col min="12" max="12" width="6.5703125" style="19" customWidth="1"/>
    <col min="13" max="16384" width="9.140625" style="19"/>
  </cols>
  <sheetData>
    <row r="1" spans="1:1" s="20" customFormat="1" x14ac:dyDescent="0.25">
      <c r="A1" s="4"/>
    </row>
    <row r="2" spans="1:1" s="20" customFormat="1" ht="39" customHeight="1" x14ac:dyDescent="0.25">
      <c r="A2" s="4"/>
    </row>
    <row r="3" spans="1:1" ht="8.25" customHeight="1" x14ac:dyDescent="0.25"/>
    <row r="4" spans="1:1" ht="7.5" customHeight="1" x14ac:dyDescent="0.25"/>
    <row r="5" spans="1:1" ht="10.5" customHeight="1" x14ac:dyDescent="0.25"/>
    <row r="6" spans="1:1" ht="9.75" customHeight="1" x14ac:dyDescent="0.25"/>
    <row r="7" spans="1:1" ht="33" customHeight="1" x14ac:dyDescent="0.25"/>
  </sheetData>
  <pageMargins left="0.511811024" right="0.511811024" top="0.78740157499999996" bottom="0.78740157499999996" header="0.31496062000000002" footer="0.31496062000000002"/>
  <pageSetup paperSize="9" scale="4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4.xml><?xml version="1.0" encoding="utf-8"?>
<ds:datastoreItem xmlns:ds="http://schemas.openxmlformats.org/officeDocument/2006/customXml" ds:itemID="{3D3EE0DE-32F8-4A58-94CF-3F3B66801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Leandro Nagata</cp:lastModifiedBy>
  <dcterms:created xsi:type="dcterms:W3CDTF">2024-12-19T13:13:10Z</dcterms:created>
  <dcterms:modified xsi:type="dcterms:W3CDTF">2026-10-18T18:04:20Z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